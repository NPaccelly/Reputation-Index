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_Marcas" sheetId="1" state="visible" r:id="rId3"/>
    <sheet name="Scoring" sheetId="2" state="visible" r:id="rId4"/>
    <sheet name="Matriz_Quadrantes" sheetId="3" state="visible" r:id="rId5"/>
    <sheet name="Benchmark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<sst xmlns="http://schemas.openxmlformats.org/spreadsheetml/2006/main" count="63" uniqueCount="55">
  <si>
    <t xml:space="preserve">Base de Marcas — Inputs Brutos (dados fictícios)</t>
  </si>
  <si>
    <t xml:space="preserve">Cada atributo é avaliado em escala 0–10 por análise qualitativa de clipping. Células em azul são inputs editáveis.</t>
  </si>
  <si>
    <t xml:space="preserve">Marca</t>
  </si>
  <si>
    <t xml:space="preserve">Setor</t>
  </si>
  <si>
    <t xml:space="preserve">Destaque</t>
  </si>
  <si>
    <t xml:space="preserve">Formato da Notícia</t>
  </si>
  <si>
    <t xml:space="preserve">Espaço Dedicado</t>
  </si>
  <si>
    <t xml:space="preserve">Tipo de Atendimento</t>
  </si>
  <si>
    <t xml:space="preserve">Mensagem-Chave</t>
  </si>
  <si>
    <t xml:space="preserve">Fator de Visibilidade</t>
  </si>
  <si>
    <t xml:space="preserve">Fator de Valoração</t>
  </si>
  <si>
    <t xml:space="preserve">Aurora Cosméticos</t>
  </si>
  <si>
    <t xml:space="preserve">Beleza</t>
  </si>
  <si>
    <t xml:space="preserve">NovaTech Eletrônicos</t>
  </si>
  <si>
    <t xml:space="preserve">Eletrônicos</t>
  </si>
  <si>
    <t xml:space="preserve">Vertta Alimentos</t>
  </si>
  <si>
    <t xml:space="preserve">Alimentos</t>
  </si>
  <si>
    <t xml:space="preserve">Bruma Vestuário</t>
  </si>
  <si>
    <t xml:space="preserve">Moda</t>
  </si>
  <si>
    <t xml:space="preserve">Solvix Farmacêutica</t>
  </si>
  <si>
    <t xml:space="preserve">Saúde</t>
  </si>
  <si>
    <t xml:space="preserve">Cintra Bebidas</t>
  </si>
  <si>
    <t xml:space="preserve">Bebidas</t>
  </si>
  <si>
    <t xml:space="preserve">Halo Beleza</t>
  </si>
  <si>
    <t xml:space="preserve">Ferra Automotiva</t>
  </si>
  <si>
    <t xml:space="preserve">Automotivo</t>
  </si>
  <si>
    <t xml:space="preserve">Lumen Energia</t>
  </si>
  <si>
    <t xml:space="preserve">Energia</t>
  </si>
  <si>
    <t xml:space="preserve">Prisma Telecom</t>
  </si>
  <si>
    <t xml:space="preserve">Telecom</t>
  </si>
  <si>
    <t xml:space="preserve">Ondara Turismo</t>
  </si>
  <si>
    <t xml:space="preserve">Turismo</t>
  </si>
  <si>
    <t xml:space="preserve">Kellen Educação</t>
  </si>
  <si>
    <t xml:space="preserve">Educação</t>
  </si>
  <si>
    <t xml:space="preserve">Bravium Financeiro</t>
  </si>
  <si>
    <t xml:space="preserve">Financeiro</t>
  </si>
  <si>
    <t xml:space="preserve">Ipê Construção</t>
  </si>
  <si>
    <t xml:space="preserve">Construção</t>
  </si>
  <si>
    <t xml:space="preserve">Ravena Entretenimento</t>
  </si>
  <si>
    <t xml:space="preserve">Entretenimento</t>
  </si>
  <si>
    <t xml:space="preserve">Modelagem do Score de Reputação (0–10)</t>
  </si>
  <si>
    <t xml:space="preserve">Eixo Narrativa = média de 5 atributos · Eixo Atratividade = média de 2 fatores · Score Final = média dos dois eixos.</t>
  </si>
  <si>
    <t xml:space="preserve">Score Narrativa</t>
  </si>
  <si>
    <t xml:space="preserve">Score Atratividade</t>
  </si>
  <si>
    <t xml:space="preserve">Score Final</t>
  </si>
  <si>
    <t xml:space="preserve">Quadrante</t>
  </si>
  <si>
    <t xml:space="preserve">Desempate</t>
  </si>
  <si>
    <t xml:space="preserve">Rank</t>
  </si>
  <si>
    <t xml:space="preserve">Matriz de 4 Quadrantes — Narrativa x Atratividade</t>
  </si>
  <si>
    <t xml:space="preserve">Eixo X = Score de Eficiência de Narrativa · Eixo Y = Score de Atratividade de Conteúdo · Linha de corte em 5.0 nos dois eixos.</t>
  </si>
  <si>
    <t xml:space="preserve">Narrativa (X)</t>
  </si>
  <si>
    <t xml:space="preserve">Atratividade (Y)</t>
  </si>
  <si>
    <t xml:space="preserve">Benchmarking Competitivo — Ranking por Score Final</t>
  </si>
  <si>
    <t xml:space="preserve">Ordenado do maior para o menor Score Final via INDEX/MATCH sobre a coluna de desempate da aba Scoring.</t>
  </si>
  <si>
    <t xml:space="preserve">Posição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</si>
</sst>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Matriz de Reputação (Narrativa x Atratividade)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"Marcas"</c:f>
              <c:strCache>
                <c:ptCount val="1"/>
                <c:pt idx="0">
                  <c:v>Marcas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7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Matriz_Quadrantes!$B$5:$B$19</c:f>
              <c:numCache>
                <c:formatCode>0.0</c:formatCode>
                <c:ptCount val="15"/>
                <c:pt idx="0">
                  <c:v>7.6</c:v>
                </c:pt>
                <c:pt idx="1">
                  <c:v>5.6</c:v>
                </c:pt>
                <c:pt idx="2">
                  <c:v>4.8</c:v>
                </c:pt>
                <c:pt idx="3">
                  <c:v>7.4</c:v>
                </c:pt>
                <c:pt idx="4">
                  <c:v>8.8</c:v>
                </c:pt>
                <c:pt idx="5">
                  <c:v>4.4</c:v>
                </c:pt>
                <c:pt idx="6">
                  <c:v>3.4</c:v>
                </c:pt>
                <c:pt idx="7">
                  <c:v>6.2</c:v>
                </c:pt>
                <c:pt idx="8">
                  <c:v>6.6</c:v>
                </c:pt>
                <c:pt idx="9">
                  <c:v>2.6</c:v>
                </c:pt>
                <c:pt idx="10">
                  <c:v>8.4</c:v>
                </c:pt>
                <c:pt idx="11">
                  <c:v>5.6</c:v>
                </c:pt>
                <c:pt idx="12">
                  <c:v>2.6</c:v>
                </c:pt>
                <c:pt idx="13">
                  <c:v>3.8</c:v>
                </c:pt>
                <c:pt idx="14">
                  <c:v>8.8</c:v>
                </c:pt>
              </c:numCache>
            </c:numRef>
          </c:xVal>
          <c:yVal>
            <c:numRef>
              <c:f>Matriz_Quadrantes!$C$5:$C$19</c:f>
              <c:numCache>
                <c:formatCode>0.0</c:formatCode>
                <c:ptCount val="15"/>
                <c:pt idx="0">
                  <c:v>8.5</c:v>
                </c:pt>
                <c:pt idx="1">
                  <c:v>7.5</c:v>
                </c:pt>
                <c:pt idx="2">
                  <c:v>4.5</c:v>
                </c:pt>
                <c:pt idx="3">
                  <c:v>6</c:v>
                </c:pt>
                <c:pt idx="4">
                  <c:v>7.5</c:v>
                </c:pt>
                <c:pt idx="5">
                  <c:v>6.5</c:v>
                </c:pt>
                <c:pt idx="6">
                  <c:v>3.5</c:v>
                </c:pt>
                <c:pt idx="7">
                  <c:v>4.5</c:v>
                </c:pt>
                <c:pt idx="8">
                  <c:v>5.5</c:v>
                </c:pt>
                <c:pt idx="9">
                  <c:v>5.5</c:v>
                </c:pt>
                <c:pt idx="10">
                  <c:v>8.5</c:v>
                </c:pt>
                <c:pt idx="11">
                  <c:v>3.5</c:v>
                </c:pt>
                <c:pt idx="12">
                  <c:v>7.5</c:v>
                </c:pt>
                <c:pt idx="13">
                  <c:v>3.5</c:v>
                </c:pt>
                <c:pt idx="14">
                  <c:v>9</c:v>
                </c:pt>
              </c:numCache>
            </c:numRef>
          </c:yVal>
          <c:smooth val="1"/>
        </c:ser>
        <c:axId val="71240982"/>
        <c:axId val="57063287"/>
      </c:scatterChart>
      <c:valAx>
        <c:axId val="71240982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de Eficiência de Narrativa (0–10)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63287"/>
        <c:crosses val="autoZero"/>
        <c:crossBetween val="midCat"/>
      </c:valAx>
      <c:valAx>
        <c:axId val="57063287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de Atratividade de Conteúdo (0–10)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4098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16</xdr:col>
      <xdr:colOff>581760</xdr:colOff>
      <xdr:row>25</xdr:row>
      <xdr:rowOff>99000</xdr:rowOff>
    </xdr:to>
    <xdr:graphicFrame>
      <xdr:nvGraphicFramePr>
        <xdr:cNvPr id="0" name="Chart 1"/>
        <xdr:cNvGraphicFramePr/>
      </xdr:nvGraphicFramePr>
      <xdr:xfrm>
        <a:off x="4558680" y="571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 t="s">
        <v>12</v>
      </c>
      <c r="C5" s="5" t="n">
        <v>8</v>
      </c>
      <c r="D5" s="5" t="n">
        <v>7</v>
      </c>
      <c r="E5" s="5" t="n">
        <v>7</v>
      </c>
      <c r="F5" s="5" t="n">
        <v>8</v>
      </c>
      <c r="G5" s="5" t="n">
        <v>8</v>
      </c>
      <c r="H5" s="5" t="n">
        <v>9</v>
      </c>
      <c r="I5" s="5" t="n">
        <v>8</v>
      </c>
    </row>
    <row r="6" customFormat="false" ht="26.85" hidden="false" customHeight="false" outlineLevel="0" collapsed="false">
      <c r="A6" s="4" t="s">
        <v>13</v>
      </c>
      <c r="B6" s="4" t="s">
        <v>14</v>
      </c>
      <c r="C6" s="5" t="n">
        <v>6</v>
      </c>
      <c r="D6" s="5" t="n">
        <v>5</v>
      </c>
      <c r="E6" s="5" t="n">
        <v>6</v>
      </c>
      <c r="F6" s="5" t="n">
        <v>5</v>
      </c>
      <c r="G6" s="5" t="n">
        <v>6</v>
      </c>
      <c r="H6" s="5" t="n">
        <v>8</v>
      </c>
      <c r="I6" s="5" t="n">
        <v>7</v>
      </c>
    </row>
    <row r="7" customFormat="false" ht="15" hidden="false" customHeight="false" outlineLevel="0" collapsed="false">
      <c r="A7" s="4" t="s">
        <v>15</v>
      </c>
      <c r="B7" s="4" t="s">
        <v>16</v>
      </c>
      <c r="C7" s="5" t="n">
        <v>4</v>
      </c>
      <c r="D7" s="5" t="n">
        <v>5</v>
      </c>
      <c r="E7" s="5" t="n">
        <v>4</v>
      </c>
      <c r="F7" s="5" t="n">
        <v>6</v>
      </c>
      <c r="G7" s="5" t="n">
        <v>5</v>
      </c>
      <c r="H7" s="5" t="n">
        <v>5</v>
      </c>
      <c r="I7" s="5" t="n">
        <v>4</v>
      </c>
    </row>
    <row r="8" customFormat="false" ht="15" hidden="false" customHeight="false" outlineLevel="0" collapsed="false">
      <c r="A8" s="4" t="s">
        <v>17</v>
      </c>
      <c r="B8" s="4" t="s">
        <v>18</v>
      </c>
      <c r="C8" s="5" t="n">
        <v>7</v>
      </c>
      <c r="D8" s="5" t="n">
        <v>8</v>
      </c>
      <c r="E8" s="5" t="n">
        <v>7</v>
      </c>
      <c r="F8" s="5" t="n">
        <v>7</v>
      </c>
      <c r="G8" s="5" t="n">
        <v>8</v>
      </c>
      <c r="H8" s="5" t="n">
        <v>6</v>
      </c>
      <c r="I8" s="5" t="n">
        <v>6</v>
      </c>
    </row>
    <row r="9" customFormat="false" ht="15" hidden="false" customHeight="false" outlineLevel="0" collapsed="false">
      <c r="A9" s="4" t="s">
        <v>19</v>
      </c>
      <c r="B9" s="4" t="s">
        <v>20</v>
      </c>
      <c r="C9" s="5" t="n">
        <v>9</v>
      </c>
      <c r="D9" s="5" t="n">
        <v>8</v>
      </c>
      <c r="E9" s="5" t="n">
        <v>9</v>
      </c>
      <c r="F9" s="5" t="n">
        <v>9</v>
      </c>
      <c r="G9" s="5" t="n">
        <v>9</v>
      </c>
      <c r="H9" s="5" t="n">
        <v>7</v>
      </c>
      <c r="I9" s="5" t="n">
        <v>8</v>
      </c>
    </row>
    <row r="10" customFormat="false" ht="15" hidden="false" customHeight="false" outlineLevel="0" collapsed="false">
      <c r="A10" s="4" t="s">
        <v>21</v>
      </c>
      <c r="B10" s="4" t="s">
        <v>22</v>
      </c>
      <c r="C10" s="5" t="n">
        <v>5</v>
      </c>
      <c r="D10" s="5" t="n">
        <v>4</v>
      </c>
      <c r="E10" s="5" t="n">
        <v>5</v>
      </c>
      <c r="F10" s="5" t="n">
        <v>4</v>
      </c>
      <c r="G10" s="5" t="n">
        <v>4</v>
      </c>
      <c r="H10" s="5" t="n">
        <v>7</v>
      </c>
      <c r="I10" s="5" t="n">
        <v>6</v>
      </c>
    </row>
    <row r="11" customFormat="false" ht="15" hidden="false" customHeight="false" outlineLevel="0" collapsed="false">
      <c r="A11" s="4" t="s">
        <v>23</v>
      </c>
      <c r="B11" s="4" t="s">
        <v>12</v>
      </c>
      <c r="C11" s="5" t="n">
        <v>3</v>
      </c>
      <c r="D11" s="5" t="n">
        <v>4</v>
      </c>
      <c r="E11" s="5" t="n">
        <v>3</v>
      </c>
      <c r="F11" s="5" t="n">
        <v>4</v>
      </c>
      <c r="G11" s="5" t="n">
        <v>3</v>
      </c>
      <c r="H11" s="5" t="n">
        <v>4</v>
      </c>
      <c r="I11" s="5" t="n">
        <v>3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5" t="n">
        <v>6</v>
      </c>
      <c r="D12" s="5" t="n">
        <v>6</v>
      </c>
      <c r="E12" s="5" t="n">
        <v>7</v>
      </c>
      <c r="F12" s="5" t="n">
        <v>6</v>
      </c>
      <c r="G12" s="5" t="n">
        <v>6</v>
      </c>
      <c r="H12" s="5" t="n">
        <v>4</v>
      </c>
      <c r="I12" s="5" t="n">
        <v>5</v>
      </c>
    </row>
    <row r="13" customFormat="false" ht="15" hidden="false" customHeight="false" outlineLevel="0" collapsed="false">
      <c r="A13" s="4" t="s">
        <v>26</v>
      </c>
      <c r="B13" s="4" t="s">
        <v>27</v>
      </c>
      <c r="C13" s="5" t="n">
        <v>7</v>
      </c>
      <c r="D13" s="5" t="n">
        <v>6</v>
      </c>
      <c r="E13" s="5" t="n">
        <v>6</v>
      </c>
      <c r="F13" s="5" t="n">
        <v>7</v>
      </c>
      <c r="G13" s="5" t="n">
        <v>7</v>
      </c>
      <c r="H13" s="5" t="n">
        <v>5</v>
      </c>
      <c r="I13" s="5" t="n">
        <v>6</v>
      </c>
    </row>
    <row r="14" customFormat="false" ht="15" hidden="false" customHeight="false" outlineLevel="0" collapsed="false">
      <c r="A14" s="4" t="s">
        <v>28</v>
      </c>
      <c r="B14" s="4" t="s">
        <v>29</v>
      </c>
      <c r="C14" s="5" t="n">
        <v>2</v>
      </c>
      <c r="D14" s="5" t="n">
        <v>3</v>
      </c>
      <c r="E14" s="5" t="n">
        <v>3</v>
      </c>
      <c r="F14" s="5" t="n">
        <v>2</v>
      </c>
      <c r="G14" s="5" t="n">
        <v>3</v>
      </c>
      <c r="H14" s="5" t="n">
        <v>6</v>
      </c>
      <c r="I14" s="5" t="n">
        <v>5</v>
      </c>
    </row>
    <row r="15" customFormat="false" ht="15" hidden="false" customHeight="false" outlineLevel="0" collapsed="false">
      <c r="A15" s="4" t="s">
        <v>30</v>
      </c>
      <c r="B15" s="4" t="s">
        <v>31</v>
      </c>
      <c r="C15" s="5" t="n">
        <v>8</v>
      </c>
      <c r="D15" s="5" t="n">
        <v>9</v>
      </c>
      <c r="E15" s="5" t="n">
        <v>8</v>
      </c>
      <c r="F15" s="5" t="n">
        <v>8</v>
      </c>
      <c r="G15" s="5" t="n">
        <v>9</v>
      </c>
      <c r="H15" s="5" t="n">
        <v>8</v>
      </c>
      <c r="I15" s="5" t="n">
        <v>9</v>
      </c>
    </row>
    <row r="16" customFormat="false" ht="15" hidden="false" customHeight="false" outlineLevel="0" collapsed="false">
      <c r="A16" s="4" t="s">
        <v>32</v>
      </c>
      <c r="B16" s="4" t="s">
        <v>33</v>
      </c>
      <c r="C16" s="5" t="n">
        <v>5</v>
      </c>
      <c r="D16" s="5" t="n">
        <v>6</v>
      </c>
      <c r="E16" s="5" t="n">
        <v>5</v>
      </c>
      <c r="F16" s="5" t="n">
        <v>6</v>
      </c>
      <c r="G16" s="5" t="n">
        <v>6</v>
      </c>
      <c r="H16" s="5" t="n">
        <v>3</v>
      </c>
      <c r="I16" s="5" t="n">
        <v>4</v>
      </c>
    </row>
    <row r="17" customFormat="false" ht="15" hidden="false" customHeight="false" outlineLevel="0" collapsed="false">
      <c r="A17" s="4" t="s">
        <v>34</v>
      </c>
      <c r="B17" s="4" t="s">
        <v>35</v>
      </c>
      <c r="C17" s="5" t="n">
        <v>3</v>
      </c>
      <c r="D17" s="5" t="n">
        <v>2</v>
      </c>
      <c r="E17" s="5" t="n">
        <v>3</v>
      </c>
      <c r="F17" s="5" t="n">
        <v>3</v>
      </c>
      <c r="G17" s="5" t="n">
        <v>2</v>
      </c>
      <c r="H17" s="5" t="n">
        <v>8</v>
      </c>
      <c r="I17" s="5" t="n">
        <v>7</v>
      </c>
    </row>
    <row r="18" customFormat="false" ht="15" hidden="false" customHeight="false" outlineLevel="0" collapsed="false">
      <c r="A18" s="4" t="s">
        <v>36</v>
      </c>
      <c r="B18" s="4" t="s">
        <v>37</v>
      </c>
      <c r="C18" s="5" t="n">
        <v>4</v>
      </c>
      <c r="D18" s="5" t="n">
        <v>4</v>
      </c>
      <c r="E18" s="5" t="n">
        <v>4</v>
      </c>
      <c r="F18" s="5" t="n">
        <v>3</v>
      </c>
      <c r="G18" s="5" t="n">
        <v>4</v>
      </c>
      <c r="H18" s="5" t="n">
        <v>4</v>
      </c>
      <c r="I18" s="5" t="n">
        <v>3</v>
      </c>
    </row>
    <row r="19" customFormat="false" ht="26.85" hidden="false" customHeight="false" outlineLevel="0" collapsed="false">
      <c r="A19" s="4" t="s">
        <v>38</v>
      </c>
      <c r="B19" s="4" t="s">
        <v>39</v>
      </c>
      <c r="C19" s="5" t="n">
        <v>9</v>
      </c>
      <c r="D19" s="5" t="n">
        <v>9</v>
      </c>
      <c r="E19" s="5" t="n">
        <v>8</v>
      </c>
      <c r="F19" s="5" t="n">
        <v>9</v>
      </c>
      <c r="G19" s="5" t="n">
        <v>9</v>
      </c>
      <c r="H19" s="5" t="n">
        <v>9</v>
      </c>
      <c r="I19" s="5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8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26.85" hidden="false" customHeight="false" outlineLevel="0" collapsed="false">
      <c r="A4" s="3" t="s">
        <v>2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</row>
    <row r="5" customFormat="false" ht="26.85" hidden="false" customHeight="false" outlineLevel="0" collapsed="false">
      <c r="A5" s="6" t="str">
        <f aca="false">Base_Marcas!A5</f>
        <v>Aurora Cosméticos</v>
      </c>
      <c r="B5" s="7" t="n">
        <f aca="false">AVERAGE(Base_Marcas!C5:G5)</f>
        <v>7.6</v>
      </c>
      <c r="C5" s="7" t="n">
        <f aca="false">AVERAGE(Base_Marcas!H5:I5)</f>
        <v>8.5</v>
      </c>
      <c r="D5" s="7" t="n">
        <f aca="false">AVERAGE(B5:C5)</f>
        <v>8.05</v>
      </c>
      <c r="E5" s="8" t="str">
        <f aca="false">IF(AND(B5&gt;=5,C5&gt;=5),"Reputação Consolidada",IF(AND(B5&lt;5,C5&gt;=5),"Risco Narrativo",IF(AND(B5&gt;=5,C5&lt;5),"Oportunidade Latente","Baixa Relevância")))</f>
        <v>Reputação Consolidada</v>
      </c>
      <c r="F5" s="8" t="n">
        <f aca="false">D5+ROW()*0.00001</f>
        <v>8.05005</v>
      </c>
      <c r="G5" s="8" t="n">
        <f aca="false">RANK(F5,$F$5:$F$19)</f>
        <v>4</v>
      </c>
    </row>
    <row r="6" customFormat="false" ht="26.85" hidden="false" customHeight="false" outlineLevel="0" collapsed="false">
      <c r="A6" s="6" t="str">
        <f aca="false">Base_Marcas!A6</f>
        <v>NovaTech Eletrônicos</v>
      </c>
      <c r="B6" s="7" t="n">
        <f aca="false">AVERAGE(Base_Marcas!C6:G6)</f>
        <v>5.6</v>
      </c>
      <c r="C6" s="7" t="n">
        <f aca="false">AVERAGE(Base_Marcas!H6:I6)</f>
        <v>7.5</v>
      </c>
      <c r="D6" s="7" t="n">
        <f aca="false">AVERAGE(B6:C6)</f>
        <v>6.55</v>
      </c>
      <c r="E6" s="8" t="str">
        <f aca="false">IF(AND(B6&gt;=5,C6&gt;=5),"Reputação Consolidada",IF(AND(B6&lt;5,C6&gt;=5),"Risco Narrativo",IF(AND(B6&gt;=5,C6&lt;5),"Oportunidade Latente","Baixa Relevância")))</f>
        <v>Reputação Consolidada</v>
      </c>
      <c r="F6" s="8" t="n">
        <f aca="false">D6+ROW()*0.00001</f>
        <v>6.55006</v>
      </c>
      <c r="G6" s="8" t="n">
        <f aca="false">RANK(F6,$F$5:$F$19)</f>
        <v>6</v>
      </c>
    </row>
    <row r="7" customFormat="false" ht="15" hidden="false" customHeight="false" outlineLevel="0" collapsed="false">
      <c r="A7" s="6" t="str">
        <f aca="false">Base_Marcas!A7</f>
        <v>Vertta Alimentos</v>
      </c>
      <c r="B7" s="7" t="n">
        <f aca="false">AVERAGE(Base_Marcas!C7:G7)</f>
        <v>4.8</v>
      </c>
      <c r="C7" s="7" t="n">
        <f aca="false">AVERAGE(Base_Marcas!H7:I7)</f>
        <v>4.5</v>
      </c>
      <c r="D7" s="7" t="n">
        <f aca="false">AVERAGE(B7:C7)</f>
        <v>4.65</v>
      </c>
      <c r="E7" s="8" t="str">
        <f aca="false">IF(AND(B7&gt;=5,C7&gt;=5),"Reputação Consolidada",IF(AND(B7&lt;5,C7&gt;=5),"Risco Narrativo",IF(AND(B7&gt;=5,C7&lt;5),"Oportunidade Latente","Baixa Relevância")))</f>
        <v>Baixa Relevância</v>
      </c>
      <c r="F7" s="8" t="n">
        <f aca="false">D7+ROW()*0.00001</f>
        <v>4.65007</v>
      </c>
      <c r="G7" s="8" t="n">
        <f aca="false">RANK(F7,$F$5:$F$19)</f>
        <v>11</v>
      </c>
    </row>
    <row r="8" customFormat="false" ht="26.85" hidden="false" customHeight="false" outlineLevel="0" collapsed="false">
      <c r="A8" s="6" t="str">
        <f aca="false">Base_Marcas!A8</f>
        <v>Bruma Vestuário</v>
      </c>
      <c r="B8" s="7" t="n">
        <f aca="false">AVERAGE(Base_Marcas!C8:G8)</f>
        <v>7.4</v>
      </c>
      <c r="C8" s="7" t="n">
        <f aca="false">AVERAGE(Base_Marcas!H8:I8)</f>
        <v>6</v>
      </c>
      <c r="D8" s="7" t="n">
        <f aca="false">AVERAGE(B8:C8)</f>
        <v>6.7</v>
      </c>
      <c r="E8" s="8" t="str">
        <f aca="false">IF(AND(B8&gt;=5,C8&gt;=5),"Reputação Consolidada",IF(AND(B8&lt;5,C8&gt;=5),"Risco Narrativo",IF(AND(B8&gt;=5,C8&lt;5),"Oportunidade Latente","Baixa Relevância")))</f>
        <v>Reputação Consolidada</v>
      </c>
      <c r="F8" s="8" t="n">
        <f aca="false">D8+ROW()*0.00001</f>
        <v>6.70008</v>
      </c>
      <c r="G8" s="8" t="n">
        <f aca="false">RANK(F8,$F$5:$F$19)</f>
        <v>5</v>
      </c>
    </row>
    <row r="9" customFormat="false" ht="26.85" hidden="false" customHeight="false" outlineLevel="0" collapsed="false">
      <c r="A9" s="6" t="str">
        <f aca="false">Base_Marcas!A9</f>
        <v>Solvix Farmacêutica</v>
      </c>
      <c r="B9" s="7" t="n">
        <f aca="false">AVERAGE(Base_Marcas!C9:G9)</f>
        <v>8.8</v>
      </c>
      <c r="C9" s="7" t="n">
        <f aca="false">AVERAGE(Base_Marcas!H9:I9)</f>
        <v>7.5</v>
      </c>
      <c r="D9" s="7" t="n">
        <f aca="false">AVERAGE(B9:C9)</f>
        <v>8.15</v>
      </c>
      <c r="E9" s="8" t="str">
        <f aca="false">IF(AND(B9&gt;=5,C9&gt;=5),"Reputação Consolidada",IF(AND(B9&lt;5,C9&gt;=5),"Risco Narrativo",IF(AND(B9&gt;=5,C9&lt;5),"Oportunidade Latente","Baixa Relevância")))</f>
        <v>Reputação Consolidada</v>
      </c>
      <c r="F9" s="8" t="n">
        <f aca="false">D9+ROW()*0.00001</f>
        <v>8.15009</v>
      </c>
      <c r="G9" s="8" t="n">
        <f aca="false">RANK(F9,$F$5:$F$19)</f>
        <v>3</v>
      </c>
    </row>
    <row r="10" customFormat="false" ht="15" hidden="false" customHeight="false" outlineLevel="0" collapsed="false">
      <c r="A10" s="6" t="str">
        <f aca="false">Base_Marcas!A10</f>
        <v>Cintra Bebidas</v>
      </c>
      <c r="B10" s="7" t="n">
        <f aca="false">AVERAGE(Base_Marcas!C10:G10)</f>
        <v>4.4</v>
      </c>
      <c r="C10" s="7" t="n">
        <f aca="false">AVERAGE(Base_Marcas!H10:I10)</f>
        <v>6.5</v>
      </c>
      <c r="D10" s="7" t="n">
        <f aca="false">AVERAGE(B10:C10)</f>
        <v>5.45</v>
      </c>
      <c r="E10" s="8" t="str">
        <f aca="false">IF(AND(B10&gt;=5,C10&gt;=5),"Reputação Consolidada",IF(AND(B10&lt;5,C10&gt;=5),"Risco Narrativo",IF(AND(B10&gt;=5,C10&lt;5),"Oportunidade Latente","Baixa Relevância")))</f>
        <v>Risco Narrativo</v>
      </c>
      <c r="F10" s="8" t="n">
        <f aca="false">D10+ROW()*0.00001</f>
        <v>5.4501</v>
      </c>
      <c r="G10" s="8" t="n">
        <f aca="false">RANK(F10,$F$5:$F$19)</f>
        <v>8</v>
      </c>
    </row>
    <row r="11" customFormat="false" ht="15" hidden="false" customHeight="false" outlineLevel="0" collapsed="false">
      <c r="A11" s="6" t="str">
        <f aca="false">Base_Marcas!A11</f>
        <v>Halo Beleza</v>
      </c>
      <c r="B11" s="7" t="n">
        <f aca="false">AVERAGE(Base_Marcas!C11:G11)</f>
        <v>3.4</v>
      </c>
      <c r="C11" s="7" t="n">
        <f aca="false">AVERAGE(Base_Marcas!H11:I11)</f>
        <v>3.5</v>
      </c>
      <c r="D11" s="7" t="n">
        <f aca="false">AVERAGE(B11:C11)</f>
        <v>3.45</v>
      </c>
      <c r="E11" s="8" t="str">
        <f aca="false">IF(AND(B11&gt;=5,C11&gt;=5),"Reputação Consolidada",IF(AND(B11&lt;5,C11&gt;=5),"Risco Narrativo",IF(AND(B11&gt;=5,C11&lt;5),"Oportunidade Latente","Baixa Relevância")))</f>
        <v>Baixa Relevância</v>
      </c>
      <c r="F11" s="8" t="n">
        <f aca="false">D11+ROW()*0.00001</f>
        <v>3.45011</v>
      </c>
      <c r="G11" s="8" t="n">
        <f aca="false">RANK(F11,$F$5:$F$19)</f>
        <v>15</v>
      </c>
    </row>
    <row r="12" customFormat="false" ht="15" hidden="false" customHeight="false" outlineLevel="0" collapsed="false">
      <c r="A12" s="6" t="str">
        <f aca="false">Base_Marcas!A12</f>
        <v>Ferra Automotiva</v>
      </c>
      <c r="B12" s="7" t="n">
        <f aca="false">AVERAGE(Base_Marcas!C12:G12)</f>
        <v>6.2</v>
      </c>
      <c r="C12" s="7" t="n">
        <f aca="false">AVERAGE(Base_Marcas!H12:I12)</f>
        <v>4.5</v>
      </c>
      <c r="D12" s="7" t="n">
        <f aca="false">AVERAGE(B12:C12)</f>
        <v>5.35</v>
      </c>
      <c r="E12" s="8" t="str">
        <f aca="false">IF(AND(B12&gt;=5,C12&gt;=5),"Reputação Consolidada",IF(AND(B12&lt;5,C12&gt;=5),"Risco Narrativo",IF(AND(B12&gt;=5,C12&lt;5),"Oportunidade Latente","Baixa Relevância")))</f>
        <v>Oportunidade Latente</v>
      </c>
      <c r="F12" s="8" t="n">
        <f aca="false">D12+ROW()*0.00001</f>
        <v>5.35012</v>
      </c>
      <c r="G12" s="8" t="n">
        <f aca="false">RANK(F12,$F$5:$F$19)</f>
        <v>9</v>
      </c>
    </row>
    <row r="13" customFormat="false" ht="26.85" hidden="false" customHeight="false" outlineLevel="0" collapsed="false">
      <c r="A13" s="6" t="str">
        <f aca="false">Base_Marcas!A13</f>
        <v>Lumen Energia</v>
      </c>
      <c r="B13" s="7" t="n">
        <f aca="false">AVERAGE(Base_Marcas!C13:G13)</f>
        <v>6.6</v>
      </c>
      <c r="C13" s="7" t="n">
        <f aca="false">AVERAGE(Base_Marcas!H13:I13)</f>
        <v>5.5</v>
      </c>
      <c r="D13" s="7" t="n">
        <f aca="false">AVERAGE(B13:C13)</f>
        <v>6.05</v>
      </c>
      <c r="E13" s="8" t="str">
        <f aca="false">IF(AND(B13&gt;=5,C13&gt;=5),"Reputação Consolidada",IF(AND(B13&lt;5,C13&gt;=5),"Risco Narrativo",IF(AND(B13&gt;=5,C13&lt;5),"Oportunidade Latente","Baixa Relevância")))</f>
        <v>Reputação Consolidada</v>
      </c>
      <c r="F13" s="8" t="n">
        <f aca="false">D13+ROW()*0.00001</f>
        <v>6.05013</v>
      </c>
      <c r="G13" s="8" t="n">
        <f aca="false">RANK(F13,$F$5:$F$19)</f>
        <v>7</v>
      </c>
    </row>
    <row r="14" customFormat="false" ht="15" hidden="false" customHeight="false" outlineLevel="0" collapsed="false">
      <c r="A14" s="6" t="str">
        <f aca="false">Base_Marcas!A14</f>
        <v>Prisma Telecom</v>
      </c>
      <c r="B14" s="7" t="n">
        <f aca="false">AVERAGE(Base_Marcas!C14:G14)</f>
        <v>2.6</v>
      </c>
      <c r="C14" s="7" t="n">
        <f aca="false">AVERAGE(Base_Marcas!H14:I14)</f>
        <v>5.5</v>
      </c>
      <c r="D14" s="7" t="n">
        <f aca="false">AVERAGE(B14:C14)</f>
        <v>4.05</v>
      </c>
      <c r="E14" s="8" t="str">
        <f aca="false">IF(AND(B14&gt;=5,C14&gt;=5),"Reputação Consolidada",IF(AND(B14&lt;5,C14&gt;=5),"Risco Narrativo",IF(AND(B14&gt;=5,C14&lt;5),"Oportunidade Latente","Baixa Relevância")))</f>
        <v>Risco Narrativo</v>
      </c>
      <c r="F14" s="8" t="n">
        <f aca="false">D14+ROW()*0.00001</f>
        <v>4.05014</v>
      </c>
      <c r="G14" s="8" t="n">
        <f aca="false">RANK(F14,$F$5:$F$19)</f>
        <v>13</v>
      </c>
    </row>
    <row r="15" customFormat="false" ht="26.85" hidden="false" customHeight="false" outlineLevel="0" collapsed="false">
      <c r="A15" s="6" t="str">
        <f aca="false">Base_Marcas!A15</f>
        <v>Ondara Turismo</v>
      </c>
      <c r="B15" s="7" t="n">
        <f aca="false">AVERAGE(Base_Marcas!C15:G15)</f>
        <v>8.4</v>
      </c>
      <c r="C15" s="7" t="n">
        <f aca="false">AVERAGE(Base_Marcas!H15:I15)</f>
        <v>8.5</v>
      </c>
      <c r="D15" s="7" t="n">
        <f aca="false">AVERAGE(B15:C15)</f>
        <v>8.45</v>
      </c>
      <c r="E15" s="8" t="str">
        <f aca="false">IF(AND(B15&gt;=5,C15&gt;=5),"Reputação Consolidada",IF(AND(B15&lt;5,C15&gt;=5),"Risco Narrativo",IF(AND(B15&gt;=5,C15&lt;5),"Oportunidade Latente","Baixa Relevância")))</f>
        <v>Reputação Consolidada</v>
      </c>
      <c r="F15" s="8" t="n">
        <f aca="false">D15+ROW()*0.00001</f>
        <v>8.45015</v>
      </c>
      <c r="G15" s="8" t="n">
        <f aca="false">RANK(F15,$F$5:$F$19)</f>
        <v>2</v>
      </c>
    </row>
    <row r="16" customFormat="false" ht="15" hidden="false" customHeight="false" outlineLevel="0" collapsed="false">
      <c r="A16" s="6" t="str">
        <f aca="false">Base_Marcas!A16</f>
        <v>Kellen Educação</v>
      </c>
      <c r="B16" s="7" t="n">
        <f aca="false">AVERAGE(Base_Marcas!C16:G16)</f>
        <v>5.6</v>
      </c>
      <c r="C16" s="7" t="n">
        <f aca="false">AVERAGE(Base_Marcas!H16:I16)</f>
        <v>3.5</v>
      </c>
      <c r="D16" s="7" t="n">
        <f aca="false">AVERAGE(B16:C16)</f>
        <v>4.55</v>
      </c>
      <c r="E16" s="8" t="str">
        <f aca="false">IF(AND(B16&gt;=5,C16&gt;=5),"Reputação Consolidada",IF(AND(B16&lt;5,C16&gt;=5),"Risco Narrativo",IF(AND(B16&gt;=5,C16&lt;5),"Oportunidade Latente","Baixa Relevância")))</f>
        <v>Oportunidade Latente</v>
      </c>
      <c r="F16" s="8" t="n">
        <f aca="false">D16+ROW()*0.00001</f>
        <v>4.55016</v>
      </c>
      <c r="G16" s="8" t="n">
        <f aca="false">RANK(F16,$F$5:$F$19)</f>
        <v>12</v>
      </c>
    </row>
    <row r="17" customFormat="false" ht="15" hidden="false" customHeight="false" outlineLevel="0" collapsed="false">
      <c r="A17" s="6" t="str">
        <f aca="false">Base_Marcas!A17</f>
        <v>Bravium Financeiro</v>
      </c>
      <c r="B17" s="7" t="n">
        <f aca="false">AVERAGE(Base_Marcas!C17:G17)</f>
        <v>2.6</v>
      </c>
      <c r="C17" s="7" t="n">
        <f aca="false">AVERAGE(Base_Marcas!H17:I17)</f>
        <v>7.5</v>
      </c>
      <c r="D17" s="7" t="n">
        <f aca="false">AVERAGE(B17:C17)</f>
        <v>5.05</v>
      </c>
      <c r="E17" s="8" t="str">
        <f aca="false">IF(AND(B17&gt;=5,C17&gt;=5),"Reputação Consolidada",IF(AND(B17&lt;5,C17&gt;=5),"Risco Narrativo",IF(AND(B17&gt;=5,C17&lt;5),"Oportunidade Latente","Baixa Relevância")))</f>
        <v>Risco Narrativo</v>
      </c>
      <c r="F17" s="8" t="n">
        <f aca="false">D17+ROW()*0.00001</f>
        <v>5.05017</v>
      </c>
      <c r="G17" s="8" t="n">
        <f aca="false">RANK(F17,$F$5:$F$19)</f>
        <v>10</v>
      </c>
    </row>
    <row r="18" customFormat="false" ht="15" hidden="false" customHeight="false" outlineLevel="0" collapsed="false">
      <c r="A18" s="6" t="str">
        <f aca="false">Base_Marcas!A18</f>
        <v>Ipê Construção</v>
      </c>
      <c r="B18" s="7" t="n">
        <f aca="false">AVERAGE(Base_Marcas!C18:G18)</f>
        <v>3.8</v>
      </c>
      <c r="C18" s="7" t="n">
        <f aca="false">AVERAGE(Base_Marcas!H18:I18)</f>
        <v>3.5</v>
      </c>
      <c r="D18" s="7" t="n">
        <f aca="false">AVERAGE(B18:C18)</f>
        <v>3.65</v>
      </c>
      <c r="E18" s="8" t="str">
        <f aca="false">IF(AND(B18&gt;=5,C18&gt;=5),"Reputação Consolidada",IF(AND(B18&lt;5,C18&gt;=5),"Risco Narrativo",IF(AND(B18&gt;=5,C18&lt;5),"Oportunidade Latente","Baixa Relevância")))</f>
        <v>Baixa Relevância</v>
      </c>
      <c r="F18" s="8" t="n">
        <f aca="false">D18+ROW()*0.00001</f>
        <v>3.65018</v>
      </c>
      <c r="G18" s="8" t="n">
        <f aca="false">RANK(F18,$F$5:$F$19)</f>
        <v>14</v>
      </c>
    </row>
    <row r="19" customFormat="false" ht="26.85" hidden="false" customHeight="false" outlineLevel="0" collapsed="false">
      <c r="A19" s="6" t="str">
        <f aca="false">Base_Marcas!A19</f>
        <v>Ravena Entretenimento</v>
      </c>
      <c r="B19" s="7" t="n">
        <f aca="false">AVERAGE(Base_Marcas!C19:G19)</f>
        <v>8.8</v>
      </c>
      <c r="C19" s="7" t="n">
        <f aca="false">AVERAGE(Base_Marcas!H19:I19)</f>
        <v>9</v>
      </c>
      <c r="D19" s="7" t="n">
        <f aca="false">AVERAGE(B19:C19)</f>
        <v>8.9</v>
      </c>
      <c r="E19" s="8" t="str">
        <f aca="false">IF(AND(B19&gt;=5,C19&gt;=5),"Reputação Consolidada",IF(AND(B19&lt;5,C19&gt;=5),"Risco Narrativo",IF(AND(B19&gt;=5,C19&lt;5),"Oportunidade Latente","Baixa Relevância")))</f>
        <v>Reputação Consolidada</v>
      </c>
      <c r="F19" s="8" t="n">
        <f aca="false">D19+ROW()*0.00001</f>
        <v>8.90019</v>
      </c>
      <c r="G19" s="8" t="n">
        <f aca="false">RANK(F19,$F$5:$F$19)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3" t="s">
        <v>2</v>
      </c>
      <c r="B4" s="3" t="s">
        <v>50</v>
      </c>
      <c r="C4" s="3" t="s">
        <v>51</v>
      </c>
    </row>
    <row r="5" customFormat="false" ht="15" hidden="false" customHeight="false" outlineLevel="0" collapsed="false">
      <c r="A5" s="9" t="str">
        <f aca="false">Scoring!A5</f>
        <v>Aurora Cosméticos</v>
      </c>
      <c r="B5" s="10" t="n">
        <f aca="false">Scoring!B5</f>
        <v>7.6</v>
      </c>
      <c r="C5" s="10" t="n">
        <f aca="false">Scoring!C5</f>
        <v>8.5</v>
      </c>
    </row>
    <row r="6" customFormat="false" ht="15" hidden="false" customHeight="false" outlineLevel="0" collapsed="false">
      <c r="A6" s="9" t="str">
        <f aca="false">Scoring!A6</f>
        <v>NovaTech Eletrônicos</v>
      </c>
      <c r="B6" s="10" t="n">
        <f aca="false">Scoring!B6</f>
        <v>5.6</v>
      </c>
      <c r="C6" s="10" t="n">
        <f aca="false">Scoring!C6</f>
        <v>7.5</v>
      </c>
    </row>
    <row r="7" customFormat="false" ht="15" hidden="false" customHeight="false" outlineLevel="0" collapsed="false">
      <c r="A7" s="9" t="str">
        <f aca="false">Scoring!A7</f>
        <v>Vertta Alimentos</v>
      </c>
      <c r="B7" s="10" t="n">
        <f aca="false">Scoring!B7</f>
        <v>4.8</v>
      </c>
      <c r="C7" s="10" t="n">
        <f aca="false">Scoring!C7</f>
        <v>4.5</v>
      </c>
    </row>
    <row r="8" customFormat="false" ht="15" hidden="false" customHeight="false" outlineLevel="0" collapsed="false">
      <c r="A8" s="9" t="str">
        <f aca="false">Scoring!A8</f>
        <v>Bruma Vestuário</v>
      </c>
      <c r="B8" s="10" t="n">
        <f aca="false">Scoring!B8</f>
        <v>7.4</v>
      </c>
      <c r="C8" s="10" t="n">
        <f aca="false">Scoring!C8</f>
        <v>6</v>
      </c>
    </row>
    <row r="9" customFormat="false" ht="15" hidden="false" customHeight="false" outlineLevel="0" collapsed="false">
      <c r="A9" s="9" t="str">
        <f aca="false">Scoring!A9</f>
        <v>Solvix Farmacêutica</v>
      </c>
      <c r="B9" s="10" t="n">
        <f aca="false">Scoring!B9</f>
        <v>8.8</v>
      </c>
      <c r="C9" s="10" t="n">
        <f aca="false">Scoring!C9</f>
        <v>7.5</v>
      </c>
    </row>
    <row r="10" customFormat="false" ht="15" hidden="false" customHeight="false" outlineLevel="0" collapsed="false">
      <c r="A10" s="9" t="str">
        <f aca="false">Scoring!A10</f>
        <v>Cintra Bebidas</v>
      </c>
      <c r="B10" s="10" t="n">
        <f aca="false">Scoring!B10</f>
        <v>4.4</v>
      </c>
      <c r="C10" s="10" t="n">
        <f aca="false">Scoring!C10</f>
        <v>6.5</v>
      </c>
    </row>
    <row r="11" customFormat="false" ht="15" hidden="false" customHeight="false" outlineLevel="0" collapsed="false">
      <c r="A11" s="9" t="str">
        <f aca="false">Scoring!A11</f>
        <v>Halo Beleza</v>
      </c>
      <c r="B11" s="10" t="n">
        <f aca="false">Scoring!B11</f>
        <v>3.4</v>
      </c>
      <c r="C11" s="10" t="n">
        <f aca="false">Scoring!C11</f>
        <v>3.5</v>
      </c>
    </row>
    <row r="12" customFormat="false" ht="15" hidden="false" customHeight="false" outlineLevel="0" collapsed="false">
      <c r="A12" s="9" t="str">
        <f aca="false">Scoring!A12</f>
        <v>Ferra Automotiva</v>
      </c>
      <c r="B12" s="10" t="n">
        <f aca="false">Scoring!B12</f>
        <v>6.2</v>
      </c>
      <c r="C12" s="10" t="n">
        <f aca="false">Scoring!C12</f>
        <v>4.5</v>
      </c>
    </row>
    <row r="13" customFormat="false" ht="15" hidden="false" customHeight="false" outlineLevel="0" collapsed="false">
      <c r="A13" s="9" t="str">
        <f aca="false">Scoring!A13</f>
        <v>Lumen Energia</v>
      </c>
      <c r="B13" s="10" t="n">
        <f aca="false">Scoring!B13</f>
        <v>6.6</v>
      </c>
      <c r="C13" s="10" t="n">
        <f aca="false">Scoring!C13</f>
        <v>5.5</v>
      </c>
    </row>
    <row r="14" customFormat="false" ht="15" hidden="false" customHeight="false" outlineLevel="0" collapsed="false">
      <c r="A14" s="9" t="str">
        <f aca="false">Scoring!A14</f>
        <v>Prisma Telecom</v>
      </c>
      <c r="B14" s="10" t="n">
        <f aca="false">Scoring!B14</f>
        <v>2.6</v>
      </c>
      <c r="C14" s="10" t="n">
        <f aca="false">Scoring!C14</f>
        <v>5.5</v>
      </c>
    </row>
    <row r="15" customFormat="false" ht="15" hidden="false" customHeight="false" outlineLevel="0" collapsed="false">
      <c r="A15" s="9" t="str">
        <f aca="false">Scoring!A15</f>
        <v>Ondara Turismo</v>
      </c>
      <c r="B15" s="10" t="n">
        <f aca="false">Scoring!B15</f>
        <v>8.4</v>
      </c>
      <c r="C15" s="10" t="n">
        <f aca="false">Scoring!C15</f>
        <v>8.5</v>
      </c>
    </row>
    <row r="16" customFormat="false" ht="15" hidden="false" customHeight="false" outlineLevel="0" collapsed="false">
      <c r="A16" s="9" t="str">
        <f aca="false">Scoring!A16</f>
        <v>Kellen Educação</v>
      </c>
      <c r="B16" s="10" t="n">
        <f aca="false">Scoring!B16</f>
        <v>5.6</v>
      </c>
      <c r="C16" s="10" t="n">
        <f aca="false">Scoring!C16</f>
        <v>3.5</v>
      </c>
    </row>
    <row r="17" customFormat="false" ht="15" hidden="false" customHeight="false" outlineLevel="0" collapsed="false">
      <c r="A17" s="9" t="str">
        <f aca="false">Scoring!A17</f>
        <v>Bravium Financeiro</v>
      </c>
      <c r="B17" s="10" t="n">
        <f aca="false">Scoring!B17</f>
        <v>2.6</v>
      </c>
      <c r="C17" s="10" t="n">
        <f aca="false">Scoring!C17</f>
        <v>7.5</v>
      </c>
    </row>
    <row r="18" customFormat="false" ht="15" hidden="false" customHeight="false" outlineLevel="0" collapsed="false">
      <c r="A18" s="9" t="str">
        <f aca="false">Scoring!A18</f>
        <v>Ipê Construção</v>
      </c>
      <c r="B18" s="10" t="n">
        <f aca="false">Scoring!B18</f>
        <v>3.8</v>
      </c>
      <c r="C18" s="10" t="n">
        <f aca="false">Scoring!C18</f>
        <v>3.5</v>
      </c>
    </row>
    <row r="19" customFormat="false" ht="15" hidden="false" customHeight="false" outlineLevel="0" collapsed="false">
      <c r="A19" s="9" t="str">
        <f aca="false">Scoring!A19</f>
        <v>Ravena Entretenimento</v>
      </c>
      <c r="B19" s="10" t="n">
        <f aca="false">Scoring!B19</f>
        <v>8.8</v>
      </c>
      <c r="C19" s="10" t="n">
        <f aca="false">Scoring!C19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26.85" hidden="false" customHeight="false" outlineLevel="0" collapsed="false">
      <c r="A4" s="3" t="s">
        <v>54</v>
      </c>
      <c r="B4" s="3" t="s">
        <v>2</v>
      </c>
      <c r="C4" s="3" t="s">
        <v>42</v>
      </c>
      <c r="D4" s="3" t="s">
        <v>43</v>
      </c>
      <c r="E4" s="3" t="s">
        <v>44</v>
      </c>
      <c r="F4" s="3" t="s">
        <v>45</v>
      </c>
    </row>
    <row r="5" customFormat="false" ht="26.85" hidden="false" customHeight="false" outlineLevel="0" collapsed="false">
      <c r="A5" s="8" t="n">
        <v>1</v>
      </c>
      <c r="B5" s="6" t="str">
        <f aca="false">INDEX(Scoring!$A$5:$A$19,MATCH(1,Scoring!$G$5:$G$19,0))</f>
        <v>Ravena Entretenimento</v>
      </c>
      <c r="C5" s="7" t="n">
        <f aca="false">INDEX(Scoring!$B$5:$B$19,MATCH(1,Scoring!$G$5:$G$19,0))</f>
        <v>8.8</v>
      </c>
      <c r="D5" s="7" t="n">
        <f aca="false">INDEX(Scoring!$C$5:$C$19,MATCH(1,Scoring!$G$5:$G$19,0))</f>
        <v>9</v>
      </c>
      <c r="E5" s="7" t="n">
        <f aca="false">INDEX(Scoring!$D$5:$D$19,MATCH(1,Scoring!$G$5:$G$19,0))</f>
        <v>8.9</v>
      </c>
      <c r="F5" s="6" t="str">
        <f aca="false">INDEX(Scoring!$E$5:$E$19,MATCH(1,Scoring!$G$5:$G$19,0))</f>
        <v>Reputação Consolidada</v>
      </c>
    </row>
    <row r="6" customFormat="false" ht="26.85" hidden="false" customHeight="false" outlineLevel="0" collapsed="false">
      <c r="A6" s="8" t="n">
        <v>2</v>
      </c>
      <c r="B6" s="6" t="str">
        <f aca="false">INDEX(Scoring!$A$5:$A$19,MATCH(2,Scoring!$G$5:$G$19,0))</f>
        <v>Ondara Turismo</v>
      </c>
      <c r="C6" s="7" t="n">
        <f aca="false">INDEX(Scoring!$B$5:$B$19,MATCH(2,Scoring!$G$5:$G$19,0))</f>
        <v>8.4</v>
      </c>
      <c r="D6" s="7" t="n">
        <f aca="false">INDEX(Scoring!$C$5:$C$19,MATCH(2,Scoring!$G$5:$G$19,0))</f>
        <v>8.5</v>
      </c>
      <c r="E6" s="7" t="n">
        <f aca="false">INDEX(Scoring!$D$5:$D$19,MATCH(2,Scoring!$G$5:$G$19,0))</f>
        <v>8.45</v>
      </c>
      <c r="F6" s="6" t="str">
        <f aca="false">INDEX(Scoring!$E$5:$E$19,MATCH(2,Scoring!$G$5:$G$19,0))</f>
        <v>Reputação Consolidada</v>
      </c>
    </row>
    <row r="7" customFormat="false" ht="26.85" hidden="false" customHeight="false" outlineLevel="0" collapsed="false">
      <c r="A7" s="8" t="n">
        <v>3</v>
      </c>
      <c r="B7" s="6" t="str">
        <f aca="false">INDEX(Scoring!$A$5:$A$19,MATCH(3,Scoring!$G$5:$G$19,0))</f>
        <v>Solvix Farmacêutica</v>
      </c>
      <c r="C7" s="7" t="n">
        <f aca="false">INDEX(Scoring!$B$5:$B$19,MATCH(3,Scoring!$G$5:$G$19,0))</f>
        <v>8.8</v>
      </c>
      <c r="D7" s="7" t="n">
        <f aca="false">INDEX(Scoring!$C$5:$C$19,MATCH(3,Scoring!$G$5:$G$19,0))</f>
        <v>7.5</v>
      </c>
      <c r="E7" s="7" t="n">
        <f aca="false">INDEX(Scoring!$D$5:$D$19,MATCH(3,Scoring!$G$5:$G$19,0))</f>
        <v>8.15</v>
      </c>
      <c r="F7" s="6" t="str">
        <f aca="false">INDEX(Scoring!$E$5:$E$19,MATCH(3,Scoring!$G$5:$G$19,0))</f>
        <v>Reputação Consolidada</v>
      </c>
    </row>
    <row r="8" customFormat="false" ht="26.85" hidden="false" customHeight="false" outlineLevel="0" collapsed="false">
      <c r="A8" s="8" t="n">
        <v>4</v>
      </c>
      <c r="B8" s="6" t="str">
        <f aca="false">INDEX(Scoring!$A$5:$A$19,MATCH(4,Scoring!$G$5:$G$19,0))</f>
        <v>Aurora Cosméticos</v>
      </c>
      <c r="C8" s="7" t="n">
        <f aca="false">INDEX(Scoring!$B$5:$B$19,MATCH(4,Scoring!$G$5:$G$19,0))</f>
        <v>7.6</v>
      </c>
      <c r="D8" s="7" t="n">
        <f aca="false">INDEX(Scoring!$C$5:$C$19,MATCH(4,Scoring!$G$5:$G$19,0))</f>
        <v>8.5</v>
      </c>
      <c r="E8" s="7" t="n">
        <f aca="false">INDEX(Scoring!$D$5:$D$19,MATCH(4,Scoring!$G$5:$G$19,0))</f>
        <v>8.05</v>
      </c>
      <c r="F8" s="6" t="str">
        <f aca="false">INDEX(Scoring!$E$5:$E$19,MATCH(4,Scoring!$G$5:$G$19,0))</f>
        <v>Reputação Consolidada</v>
      </c>
    </row>
    <row r="9" customFormat="false" ht="26.85" hidden="false" customHeight="false" outlineLevel="0" collapsed="false">
      <c r="A9" s="8" t="n">
        <v>5</v>
      </c>
      <c r="B9" s="6" t="str">
        <f aca="false">INDEX(Scoring!$A$5:$A$19,MATCH(5,Scoring!$G$5:$G$19,0))</f>
        <v>Bruma Vestuário</v>
      </c>
      <c r="C9" s="7" t="n">
        <f aca="false">INDEX(Scoring!$B$5:$B$19,MATCH(5,Scoring!$G$5:$G$19,0))</f>
        <v>7.4</v>
      </c>
      <c r="D9" s="7" t="n">
        <f aca="false">INDEX(Scoring!$C$5:$C$19,MATCH(5,Scoring!$G$5:$G$19,0))</f>
        <v>6</v>
      </c>
      <c r="E9" s="7" t="n">
        <f aca="false">INDEX(Scoring!$D$5:$D$19,MATCH(5,Scoring!$G$5:$G$19,0))</f>
        <v>6.7</v>
      </c>
      <c r="F9" s="6" t="str">
        <f aca="false">INDEX(Scoring!$E$5:$E$19,MATCH(5,Scoring!$G$5:$G$19,0))</f>
        <v>Reputação Consolidada</v>
      </c>
    </row>
    <row r="10" customFormat="false" ht="26.85" hidden="false" customHeight="false" outlineLevel="0" collapsed="false">
      <c r="A10" s="8" t="n">
        <v>6</v>
      </c>
      <c r="B10" s="6" t="str">
        <f aca="false">INDEX(Scoring!$A$5:$A$19,MATCH(6,Scoring!$G$5:$G$19,0))</f>
        <v>NovaTech Eletrônicos</v>
      </c>
      <c r="C10" s="7" t="n">
        <f aca="false">INDEX(Scoring!$B$5:$B$19,MATCH(6,Scoring!$G$5:$G$19,0))</f>
        <v>5.6</v>
      </c>
      <c r="D10" s="7" t="n">
        <f aca="false">INDEX(Scoring!$C$5:$C$19,MATCH(6,Scoring!$G$5:$G$19,0))</f>
        <v>7.5</v>
      </c>
      <c r="E10" s="7" t="n">
        <f aca="false">INDEX(Scoring!$D$5:$D$19,MATCH(6,Scoring!$G$5:$G$19,0))</f>
        <v>6.55</v>
      </c>
      <c r="F10" s="6" t="str">
        <f aca="false">INDEX(Scoring!$E$5:$E$19,MATCH(6,Scoring!$G$5:$G$19,0))</f>
        <v>Reputação Consolidada</v>
      </c>
    </row>
    <row r="11" customFormat="false" ht="26.85" hidden="false" customHeight="false" outlineLevel="0" collapsed="false">
      <c r="A11" s="8" t="n">
        <v>7</v>
      </c>
      <c r="B11" s="6" t="str">
        <f aca="false">INDEX(Scoring!$A$5:$A$19,MATCH(7,Scoring!$G$5:$G$19,0))</f>
        <v>Lumen Energia</v>
      </c>
      <c r="C11" s="7" t="n">
        <f aca="false">INDEX(Scoring!$B$5:$B$19,MATCH(7,Scoring!$G$5:$G$19,0))</f>
        <v>6.6</v>
      </c>
      <c r="D11" s="7" t="n">
        <f aca="false">INDEX(Scoring!$C$5:$C$19,MATCH(7,Scoring!$G$5:$G$19,0))</f>
        <v>5.5</v>
      </c>
      <c r="E11" s="7" t="n">
        <f aca="false">INDEX(Scoring!$D$5:$D$19,MATCH(7,Scoring!$G$5:$G$19,0))</f>
        <v>6.05</v>
      </c>
      <c r="F11" s="6" t="str">
        <f aca="false">INDEX(Scoring!$E$5:$E$19,MATCH(7,Scoring!$G$5:$G$19,0))</f>
        <v>Reputação Consolidada</v>
      </c>
    </row>
    <row r="12" customFormat="false" ht="15" hidden="false" customHeight="false" outlineLevel="0" collapsed="false">
      <c r="A12" s="8" t="n">
        <v>8</v>
      </c>
      <c r="B12" s="6" t="str">
        <f aca="false">INDEX(Scoring!$A$5:$A$19,MATCH(8,Scoring!$G$5:$G$19,0))</f>
        <v>Cintra Bebidas</v>
      </c>
      <c r="C12" s="7" t="n">
        <f aca="false">INDEX(Scoring!$B$5:$B$19,MATCH(8,Scoring!$G$5:$G$19,0))</f>
        <v>4.4</v>
      </c>
      <c r="D12" s="7" t="n">
        <f aca="false">INDEX(Scoring!$C$5:$C$19,MATCH(8,Scoring!$G$5:$G$19,0))</f>
        <v>6.5</v>
      </c>
      <c r="E12" s="7" t="n">
        <f aca="false">INDEX(Scoring!$D$5:$D$19,MATCH(8,Scoring!$G$5:$G$19,0))</f>
        <v>5.45</v>
      </c>
      <c r="F12" s="6" t="str">
        <f aca="false">INDEX(Scoring!$E$5:$E$19,MATCH(8,Scoring!$G$5:$G$19,0))</f>
        <v>Risco Narrativo</v>
      </c>
    </row>
    <row r="13" customFormat="false" ht="15" hidden="false" customHeight="false" outlineLevel="0" collapsed="false">
      <c r="A13" s="8" t="n">
        <v>9</v>
      </c>
      <c r="B13" s="6" t="str">
        <f aca="false">INDEX(Scoring!$A$5:$A$19,MATCH(9,Scoring!$G$5:$G$19,0))</f>
        <v>Ferra Automotiva</v>
      </c>
      <c r="C13" s="7" t="n">
        <f aca="false">INDEX(Scoring!$B$5:$B$19,MATCH(9,Scoring!$G$5:$G$19,0))</f>
        <v>6.2</v>
      </c>
      <c r="D13" s="7" t="n">
        <f aca="false">INDEX(Scoring!$C$5:$C$19,MATCH(9,Scoring!$G$5:$G$19,0))</f>
        <v>4.5</v>
      </c>
      <c r="E13" s="7" t="n">
        <f aca="false">INDEX(Scoring!$D$5:$D$19,MATCH(9,Scoring!$G$5:$G$19,0))</f>
        <v>5.35</v>
      </c>
      <c r="F13" s="6" t="str">
        <f aca="false">INDEX(Scoring!$E$5:$E$19,MATCH(9,Scoring!$G$5:$G$19,0))</f>
        <v>Oportunidade Latente</v>
      </c>
    </row>
    <row r="14" customFormat="false" ht="15" hidden="false" customHeight="false" outlineLevel="0" collapsed="false">
      <c r="A14" s="8" t="n">
        <v>10</v>
      </c>
      <c r="B14" s="6" t="str">
        <f aca="false">INDEX(Scoring!$A$5:$A$19,MATCH(10,Scoring!$G$5:$G$19,0))</f>
        <v>Bravium Financeiro</v>
      </c>
      <c r="C14" s="7" t="n">
        <f aca="false">INDEX(Scoring!$B$5:$B$19,MATCH(10,Scoring!$G$5:$G$19,0))</f>
        <v>2.6</v>
      </c>
      <c r="D14" s="7" t="n">
        <f aca="false">INDEX(Scoring!$C$5:$C$19,MATCH(10,Scoring!$G$5:$G$19,0))</f>
        <v>7.5</v>
      </c>
      <c r="E14" s="7" t="n">
        <f aca="false">INDEX(Scoring!$D$5:$D$19,MATCH(10,Scoring!$G$5:$G$19,0))</f>
        <v>5.05</v>
      </c>
      <c r="F14" s="6" t="str">
        <f aca="false">INDEX(Scoring!$E$5:$E$19,MATCH(10,Scoring!$G$5:$G$19,0))</f>
        <v>Risco Narrativo</v>
      </c>
    </row>
    <row r="15" customFormat="false" ht="15" hidden="false" customHeight="false" outlineLevel="0" collapsed="false">
      <c r="A15" s="8" t="n">
        <v>11</v>
      </c>
      <c r="B15" s="6" t="str">
        <f aca="false">INDEX(Scoring!$A$5:$A$19,MATCH(11,Scoring!$G$5:$G$19,0))</f>
        <v>Vertta Alimentos</v>
      </c>
      <c r="C15" s="7" t="n">
        <f aca="false">INDEX(Scoring!$B$5:$B$19,MATCH(11,Scoring!$G$5:$G$19,0))</f>
        <v>4.8</v>
      </c>
      <c r="D15" s="7" t="n">
        <f aca="false">INDEX(Scoring!$C$5:$C$19,MATCH(11,Scoring!$G$5:$G$19,0))</f>
        <v>4.5</v>
      </c>
      <c r="E15" s="7" t="n">
        <f aca="false">INDEX(Scoring!$D$5:$D$19,MATCH(11,Scoring!$G$5:$G$19,0))</f>
        <v>4.65</v>
      </c>
      <c r="F15" s="6" t="str">
        <f aca="false">INDEX(Scoring!$E$5:$E$19,MATCH(11,Scoring!$G$5:$G$19,0))</f>
        <v>Baixa Relevância</v>
      </c>
    </row>
    <row r="16" customFormat="false" ht="15" hidden="false" customHeight="false" outlineLevel="0" collapsed="false">
      <c r="A16" s="8" t="n">
        <v>12</v>
      </c>
      <c r="B16" s="6" t="str">
        <f aca="false">INDEX(Scoring!$A$5:$A$19,MATCH(12,Scoring!$G$5:$G$19,0))</f>
        <v>Kellen Educação</v>
      </c>
      <c r="C16" s="7" t="n">
        <f aca="false">INDEX(Scoring!$B$5:$B$19,MATCH(12,Scoring!$G$5:$G$19,0))</f>
        <v>5.6</v>
      </c>
      <c r="D16" s="7" t="n">
        <f aca="false">INDEX(Scoring!$C$5:$C$19,MATCH(12,Scoring!$G$5:$G$19,0))</f>
        <v>3.5</v>
      </c>
      <c r="E16" s="7" t="n">
        <f aca="false">INDEX(Scoring!$D$5:$D$19,MATCH(12,Scoring!$G$5:$G$19,0))</f>
        <v>4.55</v>
      </c>
      <c r="F16" s="6" t="str">
        <f aca="false">INDEX(Scoring!$E$5:$E$19,MATCH(12,Scoring!$G$5:$G$19,0))</f>
        <v>Oportunidade Latente</v>
      </c>
    </row>
    <row r="17" customFormat="false" ht="15" hidden="false" customHeight="false" outlineLevel="0" collapsed="false">
      <c r="A17" s="8" t="n">
        <v>13</v>
      </c>
      <c r="B17" s="6" t="str">
        <f aca="false">INDEX(Scoring!$A$5:$A$19,MATCH(13,Scoring!$G$5:$G$19,0))</f>
        <v>Prisma Telecom</v>
      </c>
      <c r="C17" s="7" t="n">
        <f aca="false">INDEX(Scoring!$B$5:$B$19,MATCH(13,Scoring!$G$5:$G$19,0))</f>
        <v>2.6</v>
      </c>
      <c r="D17" s="7" t="n">
        <f aca="false">INDEX(Scoring!$C$5:$C$19,MATCH(13,Scoring!$G$5:$G$19,0))</f>
        <v>5.5</v>
      </c>
      <c r="E17" s="7" t="n">
        <f aca="false">INDEX(Scoring!$D$5:$D$19,MATCH(13,Scoring!$G$5:$G$19,0))</f>
        <v>4.05</v>
      </c>
      <c r="F17" s="6" t="str">
        <f aca="false">INDEX(Scoring!$E$5:$E$19,MATCH(13,Scoring!$G$5:$G$19,0))</f>
        <v>Risco Narrativo</v>
      </c>
    </row>
    <row r="18" customFormat="false" ht="15" hidden="false" customHeight="false" outlineLevel="0" collapsed="false">
      <c r="A18" s="8" t="n">
        <v>14</v>
      </c>
      <c r="B18" s="6" t="str">
        <f aca="false">INDEX(Scoring!$A$5:$A$19,MATCH(14,Scoring!$G$5:$G$19,0))</f>
        <v>Ipê Construção</v>
      </c>
      <c r="C18" s="7" t="n">
        <f aca="false">INDEX(Scoring!$B$5:$B$19,MATCH(14,Scoring!$G$5:$G$19,0))</f>
        <v>3.8</v>
      </c>
      <c r="D18" s="7" t="n">
        <f aca="false">INDEX(Scoring!$C$5:$C$19,MATCH(14,Scoring!$G$5:$G$19,0))</f>
        <v>3.5</v>
      </c>
      <c r="E18" s="7" t="n">
        <f aca="false">INDEX(Scoring!$D$5:$D$19,MATCH(14,Scoring!$G$5:$G$19,0))</f>
        <v>3.65</v>
      </c>
      <c r="F18" s="6" t="str">
        <f aca="false">INDEX(Scoring!$E$5:$E$19,MATCH(14,Scoring!$G$5:$G$19,0))</f>
        <v>Baixa Relevância</v>
      </c>
    </row>
    <row r="19" customFormat="false" ht="15" hidden="false" customHeight="false" outlineLevel="0" collapsed="false">
      <c r="A19" s="8" t="n">
        <v>15</v>
      </c>
      <c r="B19" s="6" t="str">
        <f aca="false">INDEX(Scoring!$A$5:$A$19,MATCH(15,Scoring!$G$5:$G$19,0))</f>
        <v>Halo Beleza</v>
      </c>
      <c r="C19" s="7" t="n">
        <f aca="false">INDEX(Scoring!$B$5:$B$19,MATCH(15,Scoring!$G$5:$G$19,0))</f>
        <v>3.4</v>
      </c>
      <c r="D19" s="7" t="n">
        <f aca="false">INDEX(Scoring!$C$5:$C$19,MATCH(15,Scoring!$G$5:$G$19,0))</f>
        <v>3.5</v>
      </c>
      <c r="E19" s="7" t="n">
        <f aca="false">INDEX(Scoring!$D$5:$D$19,MATCH(15,Scoring!$G$5:$G$19,0))</f>
        <v>3.45</v>
      </c>
      <c r="F19" s="6" t="str">
        <f aca="false">INDEX(Scoring!$E$5:$E$19,MATCH(15,Scoring!$G$5:$G$19,0))</f>
        <v>Baixa Relevância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2026-08-30T23:06:21Z</dcterms:created>
  <dc:creator>openpyxl</dc:creator>
  <dc:description/>
  <dc:language>en-US</dc:language>
  <cp:lastModifiedBy/>
  <dcterms:modified xsi:type="dcterms:W3CDTF">2026-08-30T23:06:22Z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